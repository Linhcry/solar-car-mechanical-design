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83" windowHeight="11533"/>
  </bookViews>
  <sheets>
    <sheet name="顶球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shanghai100503" description="与工作簿中“shanghai100503”查询的连接。" type="5" background="1" refreshedVersion="2" saveData="1">
    <dbPr connection="Provider=Microsoft.Mashup.OleDb.1;Data Source=$Workbook$;Location=shanghai100503;Extended Properties=&quot;&quot;" command="SELECT * FROM [shanghai100503]" commandType="2"/>
  </connection>
</connections>
</file>

<file path=xl/sharedStrings.xml><?xml version="1.0" encoding="utf-8"?>
<sst xmlns="http://schemas.openxmlformats.org/spreadsheetml/2006/main" count="38" uniqueCount="38">
  <si>
    <t>小车参数</t>
  </si>
  <si>
    <t>前后轮距</t>
  </si>
  <si>
    <t>主动轮偏距</t>
  </si>
  <si>
    <t>从动轮偏距</t>
  </si>
  <si>
    <t>天线中心位置</t>
  </si>
  <si>
    <t>有效路径长度</t>
  </si>
  <si>
    <t>小车转向类型</t>
  </si>
  <si>
    <t>(52,-57）</t>
  </si>
  <si>
    <t>顶球</t>
  </si>
  <si>
    <t>转向偏距</t>
  </si>
  <si>
    <t>凸轮厚度</t>
  </si>
  <si>
    <t>基准圆直径</t>
  </si>
  <si>
    <t>推面半径</t>
  </si>
  <si>
    <t>发车角度</t>
  </si>
  <si>
    <t>小车大小</t>
  </si>
  <si>
    <t>（-1，0）</t>
  </si>
  <si>
    <t>290.5*192.5</t>
  </si>
  <si>
    <t>主动轮直径</t>
  </si>
  <si>
    <t>后轮周长</t>
  </si>
  <si>
    <t>主动轮圈数</t>
  </si>
  <si>
    <t>传动比分配1</t>
  </si>
  <si>
    <t>传动比分配2</t>
  </si>
  <si>
    <t>实际后轮直径</t>
  </si>
  <si>
    <t>最大路径长度</t>
  </si>
  <si>
    <t>凸轮跑完全程长度</t>
  </si>
  <si>
    <t>预留比例</t>
  </si>
  <si>
    <t>大致范围</t>
  </si>
  <si>
    <t>驱动传动比</t>
  </si>
  <si>
    <t>主动轮轨迹长度</t>
  </si>
  <si>
    <t>后轮转动圈数</t>
  </si>
  <si>
    <t>电机圈数</t>
  </si>
  <si>
    <t>0.66-0.83</t>
  </si>
  <si>
    <t>预计跑完全程时间</t>
  </si>
  <si>
    <t xml:space="preserve">  </t>
  </si>
  <si>
    <t>电机转速</t>
  </si>
  <si>
    <t>预计全程长度</t>
  </si>
  <si>
    <t>预计传动比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</si>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</sst>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宋体"/>
      <charset val="134"/>
    </font>
    <font>
      <b/>
      <sz val="16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149225</xdr:colOff>
      <xdr:row>0</xdr:row>
      <xdr:rowOff>173990</xdr:rowOff>
    </xdr:from>
    <xdr:to>
      <xdr:col>12</xdr:col>
      <xdr:colOff>612775</xdr:colOff>
      <xdr:row>19</xdr:row>
      <xdr:rowOff>164465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26370" y="173990"/>
          <a:ext cx="5054600" cy="5029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20" sqref="G20"/>
    </sheetView>
  </sheetViews>
  <sheetFormatPr defaultColWidth="9.87704918032787" defaultRowHeight="20.1" customHeight="1" outlineLevelCol="6"/>
  <cols>
    <col min="1" max="1" width="33.1229508196721" style="1" customWidth="1"/>
    <col min="2" max="3" width="20" style="1" customWidth="1"/>
    <col min="4" max="4" width="23.1229508196721" style="1" customWidth="1"/>
    <col min="5" max="5" width="21.1229508196721" style="1" customWidth="1"/>
    <col min="6" max="6" width="14" style="1" customWidth="1"/>
    <col min="7" max="16384" width="9.87704918032787" style="1"/>
  </cols>
  <sheetData>
    <row r="1" ht="35" customHeight="1" spans="1:6">
      <c r="A1" s="2" t="s">
        <v>0</v>
      </c>
      <c r="B1" s="2"/>
      <c r="C1" s="2"/>
      <c r="D1" s="2"/>
      <c r="E1" s="2"/>
      <c r="F1" s="3"/>
    </row>
    <row r="2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customHeight="1" spans="1:6">
      <c r="A3" s="4">
        <v>-117.1</v>
      </c>
      <c r="B3" s="4">
        <v>-33.5</v>
      </c>
      <c r="C3" s="4">
        <v>127</v>
      </c>
      <c r="D3" s="5" t="s">
        <v>7</v>
      </c>
      <c r="E3" s="4">
        <v>13394.4142</v>
      </c>
      <c r="F3" s="4" t="s">
        <v>8</v>
      </c>
    </row>
    <row r="4" customHeight="1" spans="1:6">
      <c r="A4" s="3"/>
      <c r="B4" s="3"/>
      <c r="C4" s="3"/>
      <c r="D4" s="3"/>
      <c r="E4" s="3"/>
      <c r="F4" s="3"/>
    </row>
    <row r="5" customHeight="1" spans="1:6">
      <c r="A5" s="4" t="s">
        <v>9</v>
      </c>
      <c r="B5" s="4" t="s">
        <v>10</v>
      </c>
      <c r="C5" s="4" t="s">
        <v>11</v>
      </c>
      <c r="D5" s="4" t="s">
        <v>12</v>
      </c>
      <c r="E5" s="6" t="s">
        <v>13</v>
      </c>
      <c r="F5" s="3" t="s">
        <v>14</v>
      </c>
    </row>
    <row r="6" customHeight="1" spans="1:6">
      <c r="A6" s="4">
        <v>-20</v>
      </c>
      <c r="B6" s="4">
        <v>4</v>
      </c>
      <c r="C6" s="4">
        <v>90</v>
      </c>
      <c r="D6" s="4">
        <v>2</v>
      </c>
      <c r="E6" s="6" t="s">
        <v>15</v>
      </c>
      <c r="F6" s="3" t="s">
        <v>16</v>
      </c>
    </row>
    <row r="7" customHeight="1" spans="1:6">
      <c r="A7" s="3"/>
      <c r="B7" s="3"/>
      <c r="C7" s="3"/>
      <c r="D7" s="3"/>
      <c r="E7" s="3"/>
      <c r="F7" s="3"/>
    </row>
    <row r="8" customHeight="1" spans="1:6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/>
    </row>
    <row r="9" customHeight="1" spans="1:6">
      <c r="A9" s="4">
        <v>130</v>
      </c>
      <c r="B9" s="3">
        <f>A9*PI()</f>
        <v>408.407044966673</v>
      </c>
      <c r="C9" s="3">
        <f>E3/B9</f>
        <v>32.7967266115427</v>
      </c>
      <c r="D9" s="4">
        <f>130/20</f>
        <v>6.5</v>
      </c>
      <c r="E9" s="4">
        <f>140/20</f>
        <v>7</v>
      </c>
      <c r="F9" s="3"/>
    </row>
    <row r="10" customHeight="1" spans="1:6">
      <c r="A10" s="3"/>
      <c r="B10" s="3"/>
      <c r="C10" s="3"/>
      <c r="D10" s="3"/>
      <c r="E10" s="3">
        <f>D9*E9</f>
        <v>45.5</v>
      </c>
      <c r="F10" s="6"/>
    </row>
    <row r="11" customHeight="1" spans="1:6">
      <c r="A11" s="3" t="s">
        <v>22</v>
      </c>
      <c r="B11" s="3" t="s">
        <v>23</v>
      </c>
      <c r="C11" s="3"/>
      <c r="D11" s="3"/>
      <c r="E11" s="3" t="s">
        <v>24</v>
      </c>
      <c r="F11" s="3"/>
    </row>
    <row r="12" customHeight="1" spans="1:6">
      <c r="A12" s="6">
        <v>130</v>
      </c>
      <c r="B12" s="3">
        <f>B9*E10</f>
        <v>18582.5205459836</v>
      </c>
      <c r="C12" s="3"/>
      <c r="D12" s="3"/>
      <c r="E12" s="3">
        <f>E10*B9</f>
        <v>18582.5205459836</v>
      </c>
      <c r="F12" s="3"/>
    </row>
    <row r="13" customHeight="1" spans="1:6">
      <c r="A13" s="4"/>
      <c r="B13" s="3"/>
      <c r="C13" s="3"/>
      <c r="D13" s="3"/>
      <c r="E13" s="3"/>
      <c r="F13" s="3"/>
    </row>
    <row r="14" customHeight="1" spans="1:6">
      <c r="A14" s="3"/>
      <c r="B14" s="3"/>
      <c r="C14" s="3"/>
      <c r="D14" s="3"/>
      <c r="E14" s="4" t="s">
        <v>25</v>
      </c>
      <c r="F14" s="4" t="s">
        <v>26</v>
      </c>
    </row>
    <row r="15" customHeight="1" spans="1:6">
      <c r="A15" s="3" t="s">
        <v>27</v>
      </c>
      <c r="B15" s="3" t="s">
        <v>28</v>
      </c>
      <c r="C15" s="3" t="s">
        <v>29</v>
      </c>
      <c r="D15" s="3" t="s">
        <v>30</v>
      </c>
      <c r="E15" s="7">
        <f>E3/E12</f>
        <v>0.720807178275664</v>
      </c>
      <c r="F15" s="4" t="s">
        <v>31</v>
      </c>
    </row>
    <row r="16" customHeight="1" spans="1:6">
      <c r="A16" s="6">
        <f>89/15</f>
        <v>5.93333333333333</v>
      </c>
      <c r="B16" s="3">
        <f>E3</f>
        <v>13394.4142</v>
      </c>
      <c r="C16" s="3">
        <f>B16/A9/PI()</f>
        <v>32.7967266115427</v>
      </c>
      <c r="D16" s="3">
        <f>C16*A16</f>
        <v>194.593911228487</v>
      </c>
      <c r="E16" s="3"/>
      <c r="F16" s="3"/>
    </row>
    <row r="17" customHeight="1" spans="1:6">
      <c r="A17" s="3" t="s">
        <v>32</v>
      </c>
      <c r="B17" s="3"/>
      <c r="C17" s="3" t="s">
        <v>33</v>
      </c>
      <c r="D17" s="3" t="s">
        <v>34</v>
      </c>
      <c r="E17" s="7" t="s">
        <v>35</v>
      </c>
      <c r="F17" s="7" t="s">
        <v>36</v>
      </c>
    </row>
    <row r="18" customHeight="1" spans="1:6">
      <c r="A18" s="3">
        <v>120</v>
      </c>
      <c r="B18" s="3"/>
      <c r="C18" s="3"/>
      <c r="D18" s="3">
        <f>D16/A18*60</f>
        <v>97.2969556142433</v>
      </c>
      <c r="E18" s="7">
        <f>E3/3*4</f>
        <v>17859.2189333333</v>
      </c>
      <c r="F18" s="7">
        <f>E18/B9</f>
        <v>43.7289688153903</v>
      </c>
    </row>
    <row r="19" customHeight="1" spans="5:6">
      <c r="E19" s="8"/>
      <c r="F19" s="8"/>
    </row>
    <row r="21" customHeight="1" spans="7:7">
      <c r="G21" s="1" t="s">
        <v>37</v>
      </c>
    </row>
  </sheetData>
  <mergeCells count="1">
    <mergeCell ref="A1:E1"/>
  </mergeCells>
  <pageMargins left="0.75" right="0.75" top="1" bottom="1" header="0.511805555555556" footer="0.511805555555556"/>
  <pageSetup paperSize="9" orientation="portrait" horizontalDpi="1200" verticalDpi="1200"/>
  <headerFooter alignWithMargins="0" scaleWithDoc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43DC5-A3D8-4DDC-AD7C-46DF5BC831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顶球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2022-10-06T15:54:00Z</dcterms:created>
  <dcterms:modified xsi:type="dcterms:W3CDTF">2024-09-10T13:00:34Z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D0F91EC8341E4BD88CDA7AAEA908570A_13</vt:lpwstr>
  </property>
  <property fmtid="{D5CDD505-2E9C-101B-9397-08002B2CF9AE}" pid="3" name="KSOProductBuildVer">
    <vt:lpwstr>2052-12.1.0.17857</vt:lpwstr>
  </property>
</Properties>
</file>