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3" windowHeight="1153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<sst xmlns="http://schemas.openxmlformats.org/spreadsheetml/2006/main" count="18" uniqueCount="17">
  <si>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读卡时间计算</t>
  </si>
  <si>
    <t>车速（mm/s）</t>
  </si>
  <si>
    <t>车长/mm</t>
  </si>
  <si>
    <t>打卡播报时间/s</t>
  </si>
  <si>
    <t>主动轮轨迹长度</t>
  </si>
  <si>
    <t>全程时间/s</t>
  </si>
  <si>
    <t>换算/min</t>
  </si>
  <si>
    <t>电机转速计算</t>
  </si>
  <si>
    <t>完成时间（预计）</t>
  </si>
  <si>
    <t>主动轮直径</t>
  </si>
  <si>
    <t>驱动传动比</t>
  </si>
  <si>
    <t>电机齿轮齿数</t>
  </si>
  <si>
    <t>主动轮轴齿数</t>
  </si>
  <si>
    <t>主动周长</t>
  </si>
  <si>
    <t>电机要转的圈数</t>
  </si>
  <si>
    <t>主动轮全程圈数</t>
  </si>
  <si>
    <t>电机转速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</si>
</sst>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3" applyNumberFormat="0" applyAlignment="0" applyProtection="0">
      <alignment vertical="center"/>
    </xf>
    <xf numFmtId="0" fontId="13" fillId="4" borderId="24" applyNumberFormat="0" applyAlignment="0" applyProtection="0">
      <alignment vertical="center"/>
    </xf>
    <xf numFmtId="0" fontId="14" fillId="4" borderId="23" applyNumberFormat="0" applyAlignment="0" applyProtection="0">
      <alignment vertical="center"/>
    </xf>
    <xf numFmtId="0" fontId="15" fillId="5" borderId="25" applyNumberFormat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J12"/>
  <sheetViews>
    <sheetView tabSelected="1" zoomScale="115" zoomScaleNormal="115" workbookViewId="0">
      <selection activeCell="M13" sqref="M13"/>
    </sheetView>
  </sheetViews>
  <sheetFormatPr defaultColWidth="11.3761467889908" defaultRowHeight="27" customHeight="1"/>
  <cols>
    <col min="1" max="3" width="11.3761467889908" style="1"/>
    <col min="4" max="4" width="16.3761467889908" style="1" customWidth="1"/>
    <col min="5" max="5" width="19.3761467889908" style="1" customWidth="1"/>
    <col min="6" max="6" width="17.6238532110092" style="1" customWidth="1"/>
    <col min="7" max="7" width="13.7522935779817" style="1" customWidth="1"/>
    <col min="8" max="8" width="17.3761467889908" style="1" customWidth="1"/>
    <col min="9" max="9" width="15.6238532110092" style="1" customWidth="1"/>
    <col min="10" max="10" width="14.8715596330275" style="1" customWidth="1"/>
    <col min="11" max="16384" width="11.3761467889908" style="1"/>
  </cols>
  <sheetData>
    <row r="2" customHeight="1" spans="4:10">
      <c r="D2" s="2" t="s">
        <v>0</v>
      </c>
      <c r="E2" s="3"/>
      <c r="F2" s="3"/>
      <c r="G2" s="3"/>
      <c r="H2" s="3"/>
      <c r="I2" s="3"/>
      <c r="J2" s="26"/>
    </row>
    <row r="3" customHeight="1" spans="4:10">
      <c r="D3" s="4" t="s">
        <v>1</v>
      </c>
      <c r="E3" s="5" t="s">
        <v>2</v>
      </c>
      <c r="F3" s="6" t="s">
        <v>3</v>
      </c>
      <c r="G3" s="5"/>
      <c r="H3" s="4" t="s">
        <v>4</v>
      </c>
      <c r="I3" s="5" t="s">
        <v>5</v>
      </c>
      <c r="J3" s="6" t="s">
        <v>6</v>
      </c>
    </row>
    <row r="4" customHeight="1" spans="4:10">
      <c r="D4" s="7">
        <f>E4/F4</f>
        <v>145.25</v>
      </c>
      <c r="E4" s="8">
        <v>290.5</v>
      </c>
      <c r="F4" s="9">
        <v>2</v>
      </c>
      <c r="G4" s="8"/>
      <c r="H4" s="7">
        <v>13394.4142</v>
      </c>
      <c r="I4" s="8">
        <f>H4/D4</f>
        <v>92.2162767641996</v>
      </c>
      <c r="J4" s="9">
        <f>I4/60</f>
        <v>1.53693794606999</v>
      </c>
    </row>
    <row r="6" customHeight="1" spans="4:10">
      <c r="D6" s="10" t="s">
        <v>7</v>
      </c>
      <c r="E6" s="10"/>
      <c r="F6" s="10"/>
      <c r="G6" s="10"/>
      <c r="H6" s="10"/>
      <c r="I6" s="10"/>
      <c r="J6" s="10"/>
    </row>
    <row r="7" customHeight="1" spans="4:9">
      <c r="D7" s="11" t="s">
        <v>4</v>
      </c>
      <c r="E7" s="12" t="s">
        <v>8</v>
      </c>
      <c r="F7" s="12" t="s">
        <v>9</v>
      </c>
      <c r="G7" s="12" t="s">
        <v>10</v>
      </c>
      <c r="H7" s="12" t="s">
        <v>11</v>
      </c>
      <c r="I7" s="19" t="s">
        <v>12</v>
      </c>
    </row>
    <row r="8" customHeight="1" spans="4:9">
      <c r="D8" s="13">
        <f>H4</f>
        <v>13394.4142</v>
      </c>
      <c r="E8" s="14">
        <f>H4/D4</f>
        <v>92.2162767641996</v>
      </c>
      <c r="F8" s="15">
        <v>130</v>
      </c>
      <c r="G8" s="16">
        <f>I8/H8</f>
        <v>5.93333333333333</v>
      </c>
      <c r="H8" s="17">
        <v>15</v>
      </c>
      <c r="I8" s="27">
        <v>89</v>
      </c>
    </row>
    <row r="9" customHeight="1" spans="4:9">
      <c r="D9" s="18"/>
      <c r="E9" s="18"/>
      <c r="F9" s="11" t="s">
        <v>13</v>
      </c>
      <c r="G9" s="12"/>
      <c r="H9" s="19" t="s">
        <v>14</v>
      </c>
      <c r="I9" s="18"/>
    </row>
    <row r="10" customHeight="1" spans="4:9">
      <c r="D10" s="18"/>
      <c r="E10" s="18"/>
      <c r="F10" s="20">
        <f>F8*PI()</f>
        <v>408.407044966673</v>
      </c>
      <c r="G10" s="21"/>
      <c r="H10" s="22">
        <f>F12*G8</f>
        <v>194.593911228487</v>
      </c>
      <c r="I10" s="18"/>
    </row>
    <row r="11" customHeight="1" spans="4:9">
      <c r="D11" s="18"/>
      <c r="E11" s="18"/>
      <c r="F11" s="20" t="s">
        <v>15</v>
      </c>
      <c r="G11" s="21"/>
      <c r="H11" s="22" t="s">
        <v>16</v>
      </c>
      <c r="I11" s="18"/>
    </row>
    <row r="12" customHeight="1" spans="4:9">
      <c r="D12" s="18"/>
      <c r="E12" s="18"/>
      <c r="F12" s="23">
        <f>D8/F10</f>
        <v>32.7967266115427</v>
      </c>
      <c r="G12" s="24"/>
      <c r="H12" s="25">
        <f>H10/E8*60</f>
        <v>126.611430035982</v>
      </c>
      <c r="I12" s="18"/>
    </row>
  </sheetData>
  <mergeCells count="2">
    <mergeCell ref="D2:J2"/>
    <mergeCell ref="D6:J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dcterms:created xsi:type="dcterms:W3CDTF">2023-07-21T12:36:00Z</dcterms:created>
  <dcterms:modified xsi:type="dcterms:W3CDTF">2024-09-10T13:00:37Z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E6599F9C93E14DE1B4E7AEA117221AFB_13</vt:lpwstr>
  </property>
  <property fmtid="{D5CDD505-2E9C-101B-9397-08002B2CF9AE}" pid="3" name="KSOProductBuildVer">
    <vt:lpwstr>2052-12.1.0.17857</vt:lpwstr>
  </property>
</Properties>
</file>